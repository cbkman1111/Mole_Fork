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jects\Mole_Fork\ExcelData\"/>
    </mc:Choice>
  </mc:AlternateContent>
  <xr:revisionPtr revIDLastSave="0" documentId="13_ncr:1_{807140B9-74D3-4FE0-A9E8-1401AF3A68B2}" xr6:coauthVersionLast="36" xr6:coauthVersionMax="36" xr10:uidLastSave="{00000000-0000-0000-0000-000000000000}"/>
  <bookViews>
    <workbookView xWindow="0" yWindow="0" windowWidth="21135" windowHeight="10980" activeTab="1" xr2:uid="{00000000-000D-0000-FFFF-FFFF00000000}"/>
  </bookViews>
  <sheets>
    <sheet name="NOTE" sheetId="1" r:id="rId1"/>
    <sheet name="Activ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6" i="2"/>
  <c r="D7" i="2"/>
  <c r="D4" i="2"/>
  <c r="Q7" i="2" l="1"/>
  <c r="J7" i="2"/>
  <c r="Q6" i="2"/>
  <c r="J6" i="2"/>
  <c r="Q5" i="2"/>
  <c r="J5" i="2"/>
  <c r="Q4" i="2"/>
  <c r="J4" i="2"/>
</calcChain>
</file>

<file path=xl/sharedStrings.xml><?xml version="1.0" encoding="utf-8"?>
<sst xmlns="http://schemas.openxmlformats.org/spreadsheetml/2006/main" count="41" uniqueCount="34">
  <si>
    <t>ID</t>
    <phoneticPr fontId="1" type="noConversion"/>
  </si>
  <si>
    <t>NAME_TID</t>
    <phoneticPr fontId="1" type="noConversion"/>
  </si>
  <si>
    <t>RANGE</t>
    <phoneticPr fontId="1" type="noConversion"/>
  </si>
  <si>
    <t>COOL_TIME</t>
    <phoneticPr fontId="1" type="noConversion"/>
  </si>
  <si>
    <t>#TableSkill</t>
    <phoneticPr fontId="1" type="noConversion"/>
  </si>
  <si>
    <t>TYPE</t>
    <phoneticPr fontId="1" type="noConversion"/>
  </si>
  <si>
    <t>ICON</t>
    <phoneticPr fontId="1" type="noConversion"/>
  </si>
  <si>
    <t>FACTOR</t>
    <phoneticPr fontId="1" type="noConversion"/>
  </si>
  <si>
    <t>!FRAME</t>
    <phoneticPr fontId="1" type="noConversion"/>
  </si>
  <si>
    <t>FRAME</t>
    <phoneticPr fontId="1" type="noConversion"/>
  </si>
  <si>
    <t>{}</t>
    <phoneticPr fontId="1" type="noConversion"/>
  </si>
  <si>
    <t>START_TIME</t>
    <phoneticPr fontId="1" type="noConversion"/>
  </si>
  <si>
    <t>!RANGE_TYPE</t>
    <phoneticPr fontId="1" type="noConversion"/>
  </si>
  <si>
    <t>RANGE_TYPE</t>
    <phoneticPr fontId="1" type="noConversion"/>
  </si>
  <si>
    <t>!PROJECTILE_TYPE</t>
    <phoneticPr fontId="1" type="noConversion"/>
  </si>
  <si>
    <t>PROJECTILE_TYPE</t>
    <phoneticPr fontId="1" type="noConversion"/>
  </si>
  <si>
    <t>PROJECTILE_ID</t>
    <phoneticPr fontId="1" type="noConversion"/>
  </si>
  <si>
    <t>!STATE_TARGET</t>
    <phoneticPr fontId="1" type="noConversion"/>
  </si>
  <si>
    <t>STATE_TARGET</t>
    <phoneticPr fontId="1" type="noConversion"/>
  </si>
  <si>
    <t>STATE_TYPE</t>
    <phoneticPr fontId="1" type="noConversion"/>
  </si>
  <si>
    <t>STATE_ID</t>
    <phoneticPr fontId="1" type="noConversion"/>
  </si>
  <si>
    <t>a.png</t>
    <phoneticPr fontId="1" type="noConversion"/>
  </si>
  <si>
    <t>없음</t>
    <phoneticPr fontId="1" type="noConversion"/>
  </si>
  <si>
    <t>싱글</t>
    <phoneticPr fontId="1" type="noConversion"/>
  </si>
  <si>
    <t>시전자</t>
    <phoneticPr fontId="1" type="noConversion"/>
  </si>
  <si>
    <t>미사일</t>
    <phoneticPr fontId="1" type="noConversion"/>
  </si>
  <si>
    <t>히트 캐릭터</t>
    <phoneticPr fontId="1" type="noConversion"/>
  </si>
  <si>
    <t>원형</t>
    <phoneticPr fontId="1" type="noConversion"/>
  </si>
  <si>
    <t>아군 전체</t>
    <phoneticPr fontId="1" type="noConversion"/>
  </si>
  <si>
    <t>타겟</t>
    <phoneticPr fontId="1" type="noConversion"/>
  </si>
  <si>
    <t>사각형</t>
    <phoneticPr fontId="1" type="noConversion"/>
  </si>
  <si>
    <t>폭파 범위</t>
    <phoneticPr fontId="1" type="noConversion"/>
  </si>
  <si>
    <t>PROJECTILE_STATES[{}]</t>
    <phoneticPr fontId="1" type="noConversion"/>
  </si>
  <si>
    <t>SKILL_STATES[{}]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</si>
</sst>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"/>
  <sheetViews>
    <sheetView workbookViewId="0">
      <selection activeCell="C17" sqref="C17"/>
    </sheetView>
  </sheetViews>
  <sheetFormatPr defaultRowHeight="16.5" x14ac:dyDescent="0.3"/>
  <cols>
    <col min="1" max="1" width="11.5" bestFit="1" customWidth="1"/>
    <col min="3" max="3" width="12.75" customWidth="1"/>
    <col min="5" max="5" width="11.75" bestFit="1" customWidth="1"/>
  </cols>
  <sheetData>
    <row r="1" spans="2:7" s="6" customFormat="1" x14ac:dyDescent="0.3">
      <c r="B1" s="7"/>
      <c r="C1" s="7"/>
      <c r="D1" s="8"/>
      <c r="E1" s="8"/>
      <c r="F1" s="9"/>
      <c r="G1" s="9"/>
    </row>
  </sheetData>
  <mergeCells count="1">
    <mergeCell ref="F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41A6-E3DB-48A8-AA17-6E24903226F2}">
  <dimension ref="A1:U7"/>
  <sheetViews>
    <sheetView tabSelected="1" workbookViewId="0">
      <selection activeCell="K23" sqref="K23"/>
    </sheetView>
  </sheetViews>
  <sheetFormatPr defaultRowHeight="16.5" x14ac:dyDescent="0.3"/>
  <cols>
    <col min="1" max="1" width="10.875" style="1" bestFit="1" customWidth="1"/>
    <col min="2" max="2" width="9" style="1"/>
    <col min="3" max="3" width="5.625" style="1" bestFit="1" customWidth="1"/>
    <col min="4" max="4" width="22.625" style="1" bestFit="1" customWidth="1"/>
    <col min="5" max="5" width="6.625" style="1" bestFit="1" customWidth="1"/>
    <col min="6" max="6" width="12.5" style="1" bestFit="1" customWidth="1"/>
    <col min="7" max="8" width="9" style="1"/>
    <col min="9" max="9" width="8.75" style="2" bestFit="1" customWidth="1"/>
    <col min="10" max="10" width="8.125" style="1" bestFit="1" customWidth="1"/>
    <col min="11" max="11" width="23.5" style="1" bestFit="1" customWidth="1"/>
    <col min="12" max="12" width="13.375" style="2" bestFit="1" customWidth="1"/>
    <col min="13" max="13" width="13.75" style="1" bestFit="1" customWidth="1"/>
    <col min="14" max="14" width="19" style="2" bestFit="1" customWidth="1"/>
    <col min="15" max="15" width="18.25" style="1" bestFit="1" customWidth="1"/>
    <col min="16" max="16" width="15.625" style="1" bestFit="1" customWidth="1"/>
    <col min="17" max="17" width="17.125" style="1" bestFit="1" customWidth="1"/>
    <col min="18" max="18" width="14.625" style="2" customWidth="1"/>
    <col min="19" max="19" width="15.875" style="1" bestFit="1" customWidth="1"/>
    <col min="20" max="20" width="12.75" style="1" bestFit="1" customWidth="1"/>
    <col min="21" max="21" width="10.125" style="1" bestFit="1" customWidth="1"/>
    <col min="22" max="16384" width="9" style="1"/>
  </cols>
  <sheetData>
    <row r="1" spans="1:21" x14ac:dyDescent="0.3">
      <c r="A1" t="s">
        <v>4</v>
      </c>
      <c r="B1" s="10" t="s">
        <v>0</v>
      </c>
      <c r="C1" s="10" t="s">
        <v>5</v>
      </c>
      <c r="D1" s="10" t="s">
        <v>1</v>
      </c>
      <c r="E1" s="10" t="s">
        <v>6</v>
      </c>
      <c r="F1" s="10" t="s">
        <v>3</v>
      </c>
      <c r="G1" s="10" t="s">
        <v>2</v>
      </c>
      <c r="H1" s="10" t="s">
        <v>7</v>
      </c>
      <c r="I1" s="11" t="s">
        <v>8</v>
      </c>
      <c r="J1" s="10" t="s">
        <v>9</v>
      </c>
      <c r="K1" s="10" t="s">
        <v>32</v>
      </c>
      <c r="L1" s="11"/>
      <c r="M1" s="10"/>
      <c r="N1" s="11"/>
      <c r="O1" s="10"/>
      <c r="P1" s="10"/>
      <c r="Q1" s="10" t="s">
        <v>33</v>
      </c>
      <c r="R1" s="11"/>
      <c r="S1" s="10"/>
      <c r="T1" s="10"/>
      <c r="U1" s="10"/>
    </row>
    <row r="2" spans="1:21" x14ac:dyDescent="0.3">
      <c r="B2" s="10"/>
      <c r="C2" s="10"/>
      <c r="D2" s="10"/>
      <c r="E2" s="10"/>
      <c r="F2" s="10"/>
      <c r="G2" s="10"/>
      <c r="H2" s="10"/>
      <c r="I2" s="11"/>
      <c r="J2" s="10"/>
      <c r="K2" s="10" t="s">
        <v>10</v>
      </c>
      <c r="L2" s="11"/>
      <c r="M2" s="10"/>
      <c r="N2" s="11"/>
      <c r="O2" s="10"/>
      <c r="P2" s="10"/>
      <c r="Q2" s="10" t="s">
        <v>10</v>
      </c>
      <c r="R2" s="11"/>
      <c r="S2" s="10"/>
      <c r="T2" s="10"/>
      <c r="U2" s="10"/>
    </row>
    <row r="3" spans="1:21" x14ac:dyDescent="0.3">
      <c r="B3" s="10"/>
      <c r="C3" s="10"/>
      <c r="D3" s="10"/>
      <c r="E3" s="10"/>
      <c r="F3" s="10"/>
      <c r="G3" s="10"/>
      <c r="H3" s="10"/>
      <c r="I3" s="11"/>
      <c r="J3" s="10"/>
      <c r="K3" s="10" t="s">
        <v>11</v>
      </c>
      <c r="L3" s="11" t="s">
        <v>12</v>
      </c>
      <c r="M3" s="10" t="s">
        <v>13</v>
      </c>
      <c r="N3" s="11" t="s">
        <v>14</v>
      </c>
      <c r="O3" s="10" t="s">
        <v>15</v>
      </c>
      <c r="P3" s="10" t="s">
        <v>16</v>
      </c>
      <c r="Q3" s="10" t="s">
        <v>11</v>
      </c>
      <c r="R3" s="11" t="s">
        <v>17</v>
      </c>
      <c r="S3" s="10" t="s">
        <v>18</v>
      </c>
      <c r="T3" s="10" t="s">
        <v>19</v>
      </c>
      <c r="U3" s="10" t="s">
        <v>20</v>
      </c>
    </row>
    <row r="4" spans="1:21" x14ac:dyDescent="0.3">
      <c r="B4" s="1">
        <v>10000</v>
      </c>
      <c r="C4" s="1">
        <v>1</v>
      </c>
      <c r="D4" s="1" t="str">
        <f>_xlfn.CONCAT("SKILL_NAME_TID_", B4)</f>
        <v>SKILL_NAME_TID_10000</v>
      </c>
      <c r="E4" s="1" t="s">
        <v>21</v>
      </c>
      <c r="F4" s="1">
        <v>1</v>
      </c>
      <c r="G4" s="1">
        <v>1</v>
      </c>
      <c r="H4" s="1">
        <v>10000</v>
      </c>
      <c r="I4" s="2">
        <v>30</v>
      </c>
      <c r="J4" s="1">
        <f>I4*0.016</f>
        <v>0.48</v>
      </c>
      <c r="K4" s="1">
        <v>0.5</v>
      </c>
      <c r="L4" s="2" t="s">
        <v>22</v>
      </c>
      <c r="M4" s="1">
        <v>0</v>
      </c>
      <c r="N4" s="2" t="s">
        <v>23</v>
      </c>
      <c r="O4" s="1">
        <v>0</v>
      </c>
      <c r="P4" s="3">
        <v>1000000</v>
      </c>
      <c r="Q4" s="4" t="str">
        <f>_xlfn.CONCAT(B4,1)</f>
        <v>100001</v>
      </c>
      <c r="R4" s="5" t="s">
        <v>24</v>
      </c>
      <c r="S4" s="1">
        <v>1</v>
      </c>
      <c r="T4" s="1">
        <v>0</v>
      </c>
      <c r="U4" s="1">
        <v>0</v>
      </c>
    </row>
    <row r="5" spans="1:21" x14ac:dyDescent="0.3">
      <c r="B5" s="1">
        <v>10001</v>
      </c>
      <c r="C5" s="1">
        <v>1</v>
      </c>
      <c r="D5" s="1" t="str">
        <f t="shared" ref="D5:D7" si="0">_xlfn.CONCAT("SKILL_NAME_TID_", B5)</f>
        <v>SKILL_NAME_TID_10001</v>
      </c>
      <c r="E5" s="1" t="s">
        <v>21</v>
      </c>
      <c r="F5" s="1">
        <v>2</v>
      </c>
      <c r="G5" s="1">
        <v>1</v>
      </c>
      <c r="H5" s="1">
        <v>10000</v>
      </c>
      <c r="I5" s="2">
        <v>30</v>
      </c>
      <c r="J5" s="1">
        <f>I5*0.016</f>
        <v>0.48</v>
      </c>
      <c r="K5" s="1">
        <v>0.5</v>
      </c>
      <c r="L5" s="2" t="s">
        <v>22</v>
      </c>
      <c r="M5" s="1">
        <v>0</v>
      </c>
      <c r="N5" s="2" t="s">
        <v>25</v>
      </c>
      <c r="O5" s="1">
        <v>1</v>
      </c>
      <c r="P5" s="3">
        <v>1000001</v>
      </c>
      <c r="Q5" s="4" t="str">
        <f>_xlfn.CONCAT(B5,1)</f>
        <v>100011</v>
      </c>
      <c r="R5" s="5" t="s">
        <v>26</v>
      </c>
      <c r="S5" s="1">
        <v>2</v>
      </c>
      <c r="T5" s="1">
        <v>0</v>
      </c>
      <c r="U5" s="1">
        <v>0</v>
      </c>
    </row>
    <row r="6" spans="1:21" x14ac:dyDescent="0.3">
      <c r="B6" s="1">
        <v>10002</v>
      </c>
      <c r="C6" s="1">
        <v>1</v>
      </c>
      <c r="D6" s="1" t="str">
        <f t="shared" si="0"/>
        <v>SKILL_NAME_TID_10002</v>
      </c>
      <c r="E6" s="1" t="s">
        <v>21</v>
      </c>
      <c r="F6" s="1">
        <v>3</v>
      </c>
      <c r="G6" s="1">
        <v>0</v>
      </c>
      <c r="H6" s="1">
        <v>10000</v>
      </c>
      <c r="I6" s="2">
        <v>30</v>
      </c>
      <c r="J6" s="1">
        <f>I6*0.016</f>
        <v>0.48</v>
      </c>
      <c r="K6" s="1">
        <v>0.5</v>
      </c>
      <c r="L6" s="2" t="s">
        <v>24</v>
      </c>
      <c r="M6" s="1">
        <v>1</v>
      </c>
      <c r="N6" s="2" t="s">
        <v>27</v>
      </c>
      <c r="O6" s="1">
        <v>2</v>
      </c>
      <c r="P6" s="3">
        <v>1000002</v>
      </c>
      <c r="Q6" s="4" t="str">
        <f>_xlfn.CONCAT(B6,1)</f>
        <v>100021</v>
      </c>
      <c r="R6" s="5" t="s">
        <v>28</v>
      </c>
      <c r="S6" s="1">
        <v>3</v>
      </c>
      <c r="T6" s="1">
        <v>0</v>
      </c>
      <c r="U6" s="1">
        <v>0</v>
      </c>
    </row>
    <row r="7" spans="1:21" x14ac:dyDescent="0.3">
      <c r="B7" s="1">
        <v>10003</v>
      </c>
      <c r="C7" s="1">
        <v>1</v>
      </c>
      <c r="D7" s="1" t="str">
        <f t="shared" si="0"/>
        <v>SKILL_NAME_TID_10003</v>
      </c>
      <c r="E7" s="1" t="s">
        <v>21</v>
      </c>
      <c r="F7" s="1">
        <v>4</v>
      </c>
      <c r="G7" s="1">
        <v>1</v>
      </c>
      <c r="H7" s="1">
        <v>10000</v>
      </c>
      <c r="I7" s="2">
        <v>60</v>
      </c>
      <c r="J7" s="1">
        <f>I7*0.016</f>
        <v>0.96</v>
      </c>
      <c r="K7" s="1">
        <v>0.5</v>
      </c>
      <c r="L7" s="2" t="s">
        <v>29</v>
      </c>
      <c r="M7" s="1">
        <v>2</v>
      </c>
      <c r="N7" s="2" t="s">
        <v>30</v>
      </c>
      <c r="O7" s="1">
        <v>3</v>
      </c>
      <c r="P7" s="3">
        <v>1000003</v>
      </c>
      <c r="Q7" s="4" t="str">
        <f>_xlfn.CONCAT(B7,1)</f>
        <v>100031</v>
      </c>
      <c r="R7" s="5" t="s">
        <v>31</v>
      </c>
      <c r="S7" s="1">
        <v>4</v>
      </c>
      <c r="T7" s="1">
        <v>0</v>
      </c>
      <c r="U7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NOTE</vt:lpstr>
      <vt:lpstr>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최병기</dc:creator>
  <cp:lastModifiedBy>최병기</cp:lastModifiedBy>
  <dcterms:created xsi:type="dcterms:W3CDTF">2024-02-19T04:46:24Z</dcterms:created>
  <dcterms:modified xsi:type="dcterms:W3CDTF">2025-07-09T05:24:15Z</dcterms:modified>
</cp:coreProperties>
</file>